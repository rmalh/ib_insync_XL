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1" codeName="{6BE1CDB9-6C1C-A5B6-3FC1-E231EC3C600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rmalhotra/Desktop/Code/ib_insync_XL/"/>
    </mc:Choice>
  </mc:AlternateContent>
  <xr:revisionPtr revIDLastSave="0" documentId="13_ncr:1_{5BFBF7F0-2515-844A-A145-4D7523732FF8}" xr6:coauthVersionLast="46" xr6:coauthVersionMax="46" xr10:uidLastSave="{00000000-0000-0000-0000-000000000000}"/>
  <bookViews>
    <workbookView xWindow="0" yWindow="460" windowWidth="28800" windowHeight="16260" tabRatio="500" xr2:uid="{00000000-000D-0000-FFFF-FFFF00000000}"/>
  </bookViews>
  <sheets>
    <sheet name="Brokerage" sheetId="1" r:id="rId1"/>
    <sheet name="Paper" sheetId="5" r:id="rId2"/>
    <sheet name="xlwings.conf" sheetId="2" r:id="rId3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9" i="5" l="1"/>
  <c r="F19" i="5"/>
  <c r="G20" i="1"/>
  <c r="F20" i="1"/>
  <c r="H19" i="5"/>
  <c r="I19" i="5"/>
  <c r="J19" i="5"/>
  <c r="K19" i="5"/>
  <c r="I5" i="5"/>
  <c r="H5" i="5"/>
  <c r="G5" i="5"/>
  <c r="E5" i="5"/>
  <c r="F5" i="5"/>
  <c r="K20" i="1"/>
  <c r="I5" i="1"/>
  <c r="H20" i="1"/>
  <c r="I20" i="1"/>
  <c r="J20" i="1"/>
  <c r="H5" i="1"/>
  <c r="G5" i="1"/>
  <c r="F5" i="1"/>
  <c r="E5" i="1"/>
</calcChain>
</file>

<file path=xl/sharedStrings.xml><?xml version="1.0" encoding="utf-8"?>
<sst xmlns="http://schemas.openxmlformats.org/spreadsheetml/2006/main" count="77" uniqueCount="41">
  <si>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</si>
  <si>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</si>
  <si>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</si>
  <si>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</si>
  <si>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</si>
  <si>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</si>
  <si>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</si>
  <si>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</si>
  <si>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</si>
  <si>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</si>
  <si>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</si>
  <si>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</si>
  <si>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</si>
  <si>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</si>
  <si>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Instrument</t>
  </si>
  <si>
    <t>Action</t>
  </si>
  <si>
    <t>Qty</t>
  </si>
  <si>
    <t>Order Type</t>
  </si>
  <si>
    <t>Portfolio</t>
  </si>
  <si>
    <t>P&amp;L</t>
  </si>
  <si>
    <t>P&amp;L %</t>
  </si>
  <si>
    <t>Amount</t>
  </si>
  <si>
    <t>Target Price</t>
  </si>
  <si>
    <t>NLV:</t>
  </si>
  <si>
    <t>Cash:</t>
  </si>
  <si>
    <t>Instr. Type</t>
  </si>
  <si>
    <t>Symbol</t>
  </si>
  <si>
    <t>Expiry</t>
  </si>
  <si>
    <t>Call / Put</t>
  </si>
  <si>
    <t>Strike</t>
  </si>
  <si>
    <t>Cost</t>
  </si>
  <si>
    <t>/Library/Frameworks/Python.framework/Versions/3.8/bin/python3.8</t>
  </si>
  <si>
    <t>LMT</t>
  </si>
  <si>
    <t>BUY</t>
  </si>
  <si>
    <t>OPTIMIZED_CONNECTION</t>
  </si>
  <si>
    <t>ABCD 100 19 MAR 21 100 CALL</t>
  </si>
  <si>
    <t>/Users/rmalhotra/Desktop/Code/ib_insync_XL/ib_insync_XL.py</t>
  </si>
  <si>
    <t>Open New Positions</t>
  </si>
  <si>
    <t>Close Positions</t>
  </si>
  <si>
    <t>Order List</t>
  </si>
  <si>
    <t>Positions to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</si>
</sst>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.0_);_(&quot;$&quot;* \(#,##0.0\);_(&quot;$&quot;* &quot;-&quot;??_);_(@_)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0" borderId="0" xfId="0" applyFont="1"/>
    <xf numFmtId="164" fontId="0" fillId="0" borderId="0" xfId="0" applyNumberFormat="1"/>
    <xf numFmtId="165" fontId="0" fillId="0" borderId="0" xfId="2" applyNumberFormat="1" applyFont="1"/>
    <xf numFmtId="0" fontId="0" fillId="0" borderId="0" xfId="0" applyBorder="1"/>
    <xf numFmtId="0" fontId="0" fillId="0" borderId="0" xfId="0" applyBorder="1" applyAlignment="1">
      <alignment horizontal="center"/>
    </xf>
    <xf numFmtId="43" fontId="0" fillId="0" borderId="0" xfId="3" applyFont="1" applyBorder="1" applyAlignment="1">
      <alignment horizontal="center"/>
    </xf>
    <xf numFmtId="43" fontId="0" fillId="0" borderId="0" xfId="3" applyFont="1" applyBorder="1"/>
    <xf numFmtId="14" fontId="0" fillId="0" borderId="0" xfId="0" applyNumberFormat="1" applyBorder="1" applyAlignment="1">
      <alignment horizontal="center"/>
    </xf>
    <xf numFmtId="9" fontId="0" fillId="0" borderId="0" xfId="1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16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0" borderId="5" xfId="2" applyNumberFormat="1" applyFont="1" applyBorder="1" applyAlignment="1">
      <alignment horizontal="center"/>
    </xf>
    <xf numFmtId="49" fontId="0" fillId="0" borderId="4" xfId="0" applyNumberFormat="1" applyBorder="1"/>
    <xf numFmtId="164" fontId="0" fillId="0" borderId="2" xfId="0" applyNumberFormat="1" applyFill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wrapText="1"/>
    </xf>
    <xf numFmtId="0" fontId="1" fillId="0" borderId="7" xfId="0" applyFont="1" applyBorder="1" applyAlignment="1">
      <alignment horizontal="center"/>
    </xf>
    <xf numFmtId="49" fontId="0" fillId="0" borderId="8" xfId="0" applyNumberFormat="1" applyBorder="1"/>
    <xf numFmtId="49" fontId="0" fillId="2" borderId="9" xfId="0" applyNumberFormat="1" applyFill="1" applyBorder="1" applyAlignment="1">
      <alignment horizontal="center"/>
    </xf>
    <xf numFmtId="164" fontId="0" fillId="2" borderId="9" xfId="0" applyNumberFormat="1" applyFill="1" applyBorder="1"/>
    <xf numFmtId="2" fontId="0" fillId="2" borderId="9" xfId="0" applyNumberFormat="1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4" fontId="4" fillId="0" borderId="1" xfId="2" applyFont="1" applyFill="1" applyBorder="1" applyAlignment="1">
      <alignment horizontal="center"/>
    </xf>
    <xf numFmtId="0" fontId="4" fillId="4" borderId="1" xfId="0" applyFont="1" applyFill="1" applyBorder="1" applyAlignment="1">
      <alignment horizontal="right"/>
    </xf>
    <xf numFmtId="2" fontId="0" fillId="0" borderId="2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1" fillId="0" borderId="5" xfId="0" applyFont="1" applyFill="1" applyBorder="1" applyAlignment="1">
      <alignment horizontal="center" wrapText="1"/>
    </xf>
    <xf numFmtId="2" fontId="0" fillId="0" borderId="1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64">
    <dxf>
      <alignment horizontal="center" vertical="bottom" textRotation="0" wrapText="0" indent="0" justifyLastLine="0" shrinkToFit="0" readingOrder="0"/>
    </dxf>
    <dxf>
      <numFmt numFmtId="19" formatCode="m/d/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"/>
      <fill>
        <patternFill patternType="solid">
          <fgColor indexed="64"/>
          <bgColor theme="9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$&quot;#,##0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9" formatCode="m/d/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622300</xdr:colOff>
          <xdr:row>18</xdr:row>
          <xdr:rowOff>139700</xdr:rowOff>
        </xdr:from>
        <xdr:to>
          <xdr:col>13</xdr:col>
          <xdr:colOff>228600</xdr:colOff>
          <xdr:row>20</xdr:row>
          <xdr:rowOff>88900</xdr:rowOff>
        </xdr:to>
        <xdr:sp macro="" textlink="">
          <xdr:nvSpPr>
            <xdr:cNvPr id="1028" name="Button 4" descr="Place Order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Place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24</xdr:row>
          <xdr:rowOff>12700</xdr:rowOff>
        </xdr:from>
        <xdr:to>
          <xdr:col>4</xdr:col>
          <xdr:colOff>889000</xdr:colOff>
          <xdr:row>26</xdr:row>
          <xdr:rowOff>12700</xdr:rowOff>
        </xdr:to>
        <xdr:sp macro="" textlink="">
          <xdr:nvSpPr>
            <xdr:cNvPr id="1030" name="Button 6" descr="Place Order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355600</xdr:colOff>
          <xdr:row>24</xdr:row>
          <xdr:rowOff>12700</xdr:rowOff>
        </xdr:from>
        <xdr:to>
          <xdr:col>4</xdr:col>
          <xdr:colOff>63500</xdr:colOff>
          <xdr:row>26</xdr:row>
          <xdr:rowOff>12700</xdr:rowOff>
        </xdr:to>
        <xdr:sp macro="" textlink="">
          <xdr:nvSpPr>
            <xdr:cNvPr id="1031" name="Button 7" descr="Place Order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622300</xdr:colOff>
          <xdr:row>17</xdr:row>
          <xdr:rowOff>139700</xdr:rowOff>
        </xdr:from>
        <xdr:to>
          <xdr:col>13</xdr:col>
          <xdr:colOff>228600</xdr:colOff>
          <xdr:row>19</xdr:row>
          <xdr:rowOff>88900</xdr:rowOff>
        </xdr:to>
        <xdr:sp macro="" textlink="">
          <xdr:nvSpPr>
            <xdr:cNvPr id="5121" name="Button 1" descr="Place Order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Place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635000</xdr:colOff>
          <xdr:row>23</xdr:row>
          <xdr:rowOff>12700</xdr:rowOff>
        </xdr:from>
        <xdr:to>
          <xdr:col>4</xdr:col>
          <xdr:colOff>266700</xdr:colOff>
          <xdr:row>25</xdr:row>
          <xdr:rowOff>12700</xdr:rowOff>
        </xdr:to>
        <xdr:sp macro="" textlink="">
          <xdr:nvSpPr>
            <xdr:cNvPr id="5122" name="Button 2" descr="Place Order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635000</xdr:colOff>
          <xdr:row>23</xdr:row>
          <xdr:rowOff>12700</xdr:rowOff>
        </xdr:from>
        <xdr:to>
          <xdr:col>3</xdr:col>
          <xdr:colOff>393700</xdr:colOff>
          <xdr:row>25</xdr:row>
          <xdr:rowOff>12700</xdr:rowOff>
        </xdr:to>
        <xdr:sp macro="" textlink="">
          <xdr:nvSpPr>
            <xdr:cNvPr id="5123" name="Button 3" descr="Place Orders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0D3E7A-8CF2-0645-8591-E877FED5CB17}" name="Table1" displayName="Table1" ref="A4:I15" totalsRowShown="0" headerRowDxfId="59" headerRowBorderDxfId="58" tableBorderDxfId="57">
  <tableColumns count="9">
    <tableColumn id="1" xr3:uid="{AF8833E0-A481-0C48-B567-1EFF55BE6B70}" name="Instrument"/>
    <tableColumn id="2" xr3:uid="{5389E8E5-3CA0-AC45-BA9A-CABE412DC002}" name="Qty" dataDxfId="56"/>
    <tableColumn id="3" xr3:uid="{96D32303-3335-2F48-ABD9-2167853214A8}" name="Cost" dataDxfId="55" dataCellStyle="Comma"/>
    <tableColumn id="4" xr3:uid="{59C06A21-D659-604F-9018-42549500DFCD}" name="P&amp;L" dataDxfId="54" dataCellStyle="Comma"/>
    <tableColumn id="5" xr3:uid="{F749606A-9894-3548-BB1B-938444D6139C}" name="P&amp;L %" dataDxfId="53" dataCellStyle="Percent">
      <calculatedColumnFormula>IF(B5&lt;=0, (-1*D5/C5), D5/C5)</calculatedColumnFormula>
    </tableColumn>
    <tableColumn id="6" xr3:uid="{276081A1-6F82-E844-8E83-506B918B484A}" name="Symbol" dataDxfId="52">
      <calculatedColumnFormula>IF(ISERROR(FIND(" ",A5)),A5,LEFT(A5,FIND(" ",A5)-1))</calculatedColumnFormula>
    </tableColumn>
    <tableColumn id="7" xr3:uid="{EF4AA41F-077A-E54A-9CB9-B4444D9BB3B3}" name="Call / Put" dataDxfId="51">
      <calculatedColumnFormula>IF(ISERROR(FIND(" ",A5)),"-",MID(TRIM(RIGHT(A5,LEN(A5)-FIND(" ",A5)-1)),7, 1))</calculatedColumnFormula>
    </tableColumn>
    <tableColumn id="8" xr3:uid="{8ED020FF-B2F6-8246-98DC-C2D552B03E7E}" name="Expiry" dataDxfId="50">
      <calculatedColumnFormula>IF(ISERROR(FIND(" ",A5)),"-",DATE(LEFT(LEFT(TRIM(RIGHT(A5,LEN(A5)-FIND(" ",A5)-1)),6), 2), MID(LEFT(TRIM(RIGHT(A5,LEN(A5)-FIND(" ",A5)-1)),6), 3, 2),RIGHT(LEFT(TRIM(RIGHT(A5,LEN(A5)-FIND(" ",A5)-1)),6), 2)))</calculatedColumnFormula>
    </tableColumn>
    <tableColumn id="9" xr3:uid="{E347C572-5804-7147-935A-263C876B82B8}" name="Strike" dataDxfId="49">
      <calculatedColumnFormula>IF(ISERROR(FIND(" ",A5)),"-",RIGHT(TRIM(RIGHT(A5,LEN(A5)-FIND(" ",A5)-1)),LEN(TRIM(RIGHT(A5,LEN(A5)-FIND(" ",A5)-1)))-8)/1000)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8D9B0A-5221-9340-8109-BD7FA460D883}" name="Table2" displayName="Table2" ref="A19:K22" totalsRowShown="0" headerRowDxfId="48" dataDxfId="46" headerRowBorderDxfId="47" tableBorderDxfId="45" totalsRowBorderDxfId="44">
  <tableColumns count="11">
    <tableColumn id="1" xr3:uid="{CE8BDFD6-8149-5444-8936-041D8C6320EB}" name="Instrument" dataDxfId="43"/>
    <tableColumn id="2" xr3:uid="{996CAD47-694D-2447-A984-AC058D000756}" name="Action" dataDxfId="42"/>
    <tableColumn id="3" xr3:uid="{0D009D6F-51A0-8A49-A230-2D02356ED342}" name="Order Type" dataDxfId="41"/>
    <tableColumn id="4" xr3:uid="{1228D8BF-6A08-984A-8001-033667E03042}" name="Amount" dataDxfId="40"/>
    <tableColumn id="5" xr3:uid="{E345654A-0859-7D4D-9EC7-E057A83C4125}" name="Target Price" dataDxfId="39"/>
    <tableColumn id="6" xr3:uid="{5C5BEE6E-A532-8446-A570-5D8A481FA919}" name="Qty" dataDxfId="38">
      <calculatedColumnFormula>IF(G20="STK", D20/E20, D20/(E20*100))</calculatedColumnFormula>
    </tableColumn>
    <tableColumn id="7" xr3:uid="{32A33986-7332-1F46-BC18-33B42B32890B}" name="Instr. Type" dataDxfId="37"/>
    <tableColumn id="8" xr3:uid="{57172054-76D6-8449-8AFB-58724B568B83}" name="Symbol" dataDxfId="36"/>
    <tableColumn id="9" xr3:uid="{39C14DB6-55FC-1447-B72C-5F714D4C01B0}" name="Expiry" dataDxfId="35"/>
    <tableColumn id="10" xr3:uid="{30618634-D2AF-1048-8A91-8346ED36B32C}" name="Strike" dataDxfId="34"/>
    <tableColumn id="11" xr3:uid="{ED2874E0-83D0-3F42-B702-236C0F0717B4}" name="Call / Put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6E45982-1984-E949-A5D8-C8C63C1F05B4}" name="Table5" displayName="Table5" ref="A18:K21" totalsRowShown="0" headerRowDxfId="27" dataDxfId="25" headerRowBorderDxfId="26" tableBorderDxfId="24" totalsRowBorderDxfId="23">
  <tableColumns count="11">
    <tableColumn id="1" xr3:uid="{9871A85A-63AC-5F4E-934C-65DF013FAFA3}" name="Instrument" dataDxfId="22"/>
    <tableColumn id="2" xr3:uid="{E89D5F99-E64F-0148-A07D-4C9FE766F28E}" name="Action" dataDxfId="21"/>
    <tableColumn id="3" xr3:uid="{9068ED2B-04F2-0E4E-BC16-D6BA460C983E}" name="Order Type" dataDxfId="20"/>
    <tableColumn id="4" xr3:uid="{AEAE6A39-BD8B-7847-94BD-1ED09AAC47E8}" name="Amount" dataDxfId="19"/>
    <tableColumn id="5" xr3:uid="{2F7E4BE4-F89F-B84C-A03D-A33F53910119}" name="Target Price" dataDxfId="18"/>
    <tableColumn id="6" xr3:uid="{5FA465EC-C9E1-DE47-80B8-7ECE9848BAC0}" name="Qty" dataDxfId="17">
      <calculatedColumnFormula>IF(G19="STK", D19/E19, D19/(E19*100))</calculatedColumnFormula>
    </tableColumn>
    <tableColumn id="7" xr3:uid="{5C2CD201-F356-B945-B7BA-EE828A39C006}" name="Instr. Type" dataDxfId="16">
      <calculatedColumnFormula>IF(ISERROR(FIND(" ",A19)),"STK","OPT")</calculatedColumnFormula>
    </tableColumn>
    <tableColumn id="8" xr3:uid="{78D83DD6-3CDA-EC4F-8600-1E3FEC0BF9D7}" name="Symbol" dataDxfId="15">
      <calculatedColumnFormula>IF(ISERROR(FIND(" ",A19)),A19,LEFT(A19,FIND(" ",A19)-1))</calculatedColumnFormula>
    </tableColumn>
    <tableColumn id="9" xr3:uid="{7F38B87E-159B-184B-B5E6-7B9712538BAE}" name="Expiry" dataDxfId="14">
      <calculatedColumnFormula>IF(G19="STK","-", DATEVALUE(MID(A19, FIND(CHAR(140),SUBSTITUTE(A19," ",CHAR(140),2))+1, 9)))</calculatedColumnFormula>
    </tableColumn>
    <tableColumn id="10" xr3:uid="{26F7A3BB-12B9-C245-9232-1F64232D0FBE}" name="Strike" dataDxfId="13">
      <calculatedColumnFormula>IF(G19="STK","-", LEFT(RIGHT(A19, LEN(A19) - FIND(CHAR(140),SUBSTITUTE(A19," ",CHAR(140),5))),FIND(" ",RIGHT(A19, LEN(A19) - FIND(CHAR(140),SUBSTITUTE(A19," ",CHAR(140),5))))-1))</calculatedColumnFormula>
    </tableColumn>
    <tableColumn id="11" xr3:uid="{12B948EB-AB8C-6F43-8F0B-B1BE4A983BF4}" name="Call / Put" dataDxfId="12">
      <calculatedColumnFormula>IF(G19="STK","-", TRIM(RIGHT(A19, LEN(A19)-FIND(CHAR(140),SUBSTITUTE(A19," ",CHAR(140),6))+1)))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A3C63D-4A76-4E42-8E91-40B763D79C48}" name="Table4" displayName="Table4" ref="A4:I5" totalsRowShown="0" headerRowDxfId="11" dataDxfId="9" headerRowBorderDxfId="10" tableBorderDxfId="8">
  <tableColumns count="9">
    <tableColumn id="1" xr3:uid="{75C86F1A-AA84-C143-912F-DE39A0FC2AE0}" name="Instrument"/>
    <tableColumn id="2" xr3:uid="{76FF7DBA-A929-B740-BEDA-1957FCCC53A1}" name="Qty" dataDxfId="7"/>
    <tableColumn id="3" xr3:uid="{08D831DC-853A-1149-9E59-1BB80D469BED}" name="Cost" dataDxfId="6" dataCellStyle="Comma"/>
    <tableColumn id="4" xr3:uid="{EC6FBEEF-F239-8F48-854F-87F9D4D8B25D}" name="P&amp;L" dataDxfId="5" dataCellStyle="Comma"/>
    <tableColumn id="5" xr3:uid="{FDDC2721-8391-C948-AD47-19EE0DD9C077}" name="P&amp;L %" dataDxfId="4" dataCellStyle="Percent">
      <calculatedColumnFormula>IF(B5&lt;=0, (-1*D5/C5), D5/C5)</calculatedColumnFormula>
    </tableColumn>
    <tableColumn id="6" xr3:uid="{300B8CBB-9B56-7F45-8F48-4E390C6460E5}" name="Symbol" dataDxfId="3">
      <calculatedColumnFormula>IF(ISERROR(FIND(" ",A5)),A5,LEFT(A5,FIND(" ",A5)-1))</calculatedColumnFormula>
    </tableColumn>
    <tableColumn id="7" xr3:uid="{01B027DE-46C2-9B4A-BFFC-849EE00CAEF9}" name="Call / Put" dataDxfId="2">
      <calculatedColumnFormula>IF(ISERROR(FIND(" ",A5)),"-",MID(TRIM(RIGHT(A5,LEN(A5)-FIND(" ",A5)-1)),7, 1))</calculatedColumnFormula>
    </tableColumn>
    <tableColumn id="8" xr3:uid="{B3AAB01C-AFC7-8246-BF1E-0CABAAFD7BEF}" name="Expiry" dataDxfId="1">
      <calculatedColumnFormula>IF(ISERROR(FIND(" ",A5)),"-",DATE(LEFT(LEFT(TRIM(RIGHT(A5,LEN(A5)-FIND(" ",A5)-1)),6), 2), MID(LEFT(TRIM(RIGHT(A5,LEN(A5)-FIND(" ",A5)-1)),6), 3, 2),RIGHT(LEFT(TRIM(RIGHT(A5,LEN(A5)-FIND(" ",A5)-1)),6), 2)))</calculatedColumnFormula>
    </tableColumn>
    <tableColumn id="9" xr3:uid="{7D103B1F-4A1D-3A4D-B397-F1498E8B0811}" name="Strike" dataDxfId="0">
      <calculatedColumnFormula>IF(ISERROR(FIND(" ",A5)),"-",RIGHT(TRIM(RIGHT(A5,LEN(A5)-FIND(" ",A5)-1)),LEN(RIGHT(A5,LEN(A5)-FIND(" ",A5)-1))-8)/1000)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6"/>
  <sheetViews>
    <sheetView tabSelected="1" zoomScale="130" zoomScaleNormal="130" workbookViewId="0">
      <selection activeCell="A25" sqref="A25:B25"/>
    </sheetView>
  </sheetViews>
  <sheetFormatPr baseColWidth="10" defaultColWidth="10.5" defaultRowHeight="16" x14ac:dyDescent="0.2"/>
  <cols>
    <col min="1" max="1" width="27.6640625" bestFit="1" customWidth="1"/>
    <col min="2" max="2" width="11.5" bestFit="1" customWidth="1"/>
    <col min="3" max="3" width="12.5" customWidth="1"/>
    <col min="4" max="4" width="11.5" style="6" bestFit="1" customWidth="1"/>
    <col min="5" max="5" width="13.1640625" customWidth="1"/>
    <col min="6" max="6" width="11.1640625" bestFit="1" customWidth="1"/>
    <col min="7" max="7" width="12" customWidth="1"/>
    <col min="8" max="8" width="9.1640625" customWidth="1"/>
    <col min="9" max="9" width="10.5" style="3" bestFit="1" customWidth="1"/>
    <col min="10" max="10" width="7.83203125" customWidth="1"/>
    <col min="11" max="11" width="10.83203125" style="5" customWidth="1"/>
    <col min="12" max="12" width="10.1640625" style="3" bestFit="1" customWidth="1"/>
    <col min="13" max="13" width="10.6640625" style="3" bestFit="1" customWidth="1"/>
    <col min="15" max="15" width="10.83203125" style="3" bestFit="1" customWidth="1"/>
    <col min="17" max="17" width="11.5" style="3" bestFit="1" customWidth="1"/>
    <col min="18" max="19" width="11.5" bestFit="1" customWidth="1"/>
  </cols>
  <sheetData>
    <row r="1" spans="1:20" x14ac:dyDescent="0.2">
      <c r="A1" s="40" t="s">
        <v>23</v>
      </c>
      <c r="B1" s="39"/>
      <c r="C1" s="40" t="s">
        <v>24</v>
      </c>
      <c r="D1" s="5"/>
      <c r="E1" s="5"/>
      <c r="F1" s="5"/>
      <c r="G1" s="5"/>
      <c r="H1" s="5"/>
      <c r="I1" s="5"/>
      <c r="J1" s="5"/>
      <c r="L1"/>
      <c r="O1"/>
      <c r="Q1"/>
    </row>
    <row r="2" spans="1:20" x14ac:dyDescent="0.2">
      <c r="I2"/>
      <c r="L2"/>
      <c r="Q2"/>
    </row>
    <row r="3" spans="1:20" s="4" customFormat="1" x14ac:dyDescent="0.2">
      <c r="A3" s="50" t="s">
        <v>18</v>
      </c>
      <c r="B3" s="50"/>
      <c r="C3" s="50"/>
      <c r="D3" s="50"/>
      <c r="E3" s="50"/>
      <c r="F3" s="50"/>
      <c r="G3" s="50"/>
      <c r="H3" s="50"/>
      <c r="I3" s="50"/>
      <c r="J3" s="3"/>
      <c r="L3"/>
    </row>
    <row r="4" spans="1:20" s="3" customFormat="1" x14ac:dyDescent="0.2">
      <c r="A4" s="21" t="s">
        <v>14</v>
      </c>
      <c r="B4" s="21" t="s">
        <v>16</v>
      </c>
      <c r="C4" s="22" t="s">
        <v>30</v>
      </c>
      <c r="D4" s="21" t="s">
        <v>19</v>
      </c>
      <c r="E4" s="21" t="s">
        <v>20</v>
      </c>
      <c r="F4" s="21" t="s">
        <v>26</v>
      </c>
      <c r="G4" s="21" t="s">
        <v>28</v>
      </c>
      <c r="H4" s="21" t="s">
        <v>27</v>
      </c>
      <c r="I4" s="21" t="s">
        <v>29</v>
      </c>
      <c r="L4"/>
    </row>
    <row r="5" spans="1:20" x14ac:dyDescent="0.2">
      <c r="A5" s="7"/>
      <c r="B5" s="8"/>
      <c r="C5" s="9"/>
      <c r="D5" s="10"/>
      <c r="E5" s="12" t="e">
        <f>IF(B5&lt;=0, (-1*D5/C5), D5/C5)</f>
        <v>#DIV/0!</v>
      </c>
      <c r="F5" s="8">
        <f t="shared" ref="F5" si="0">IF(ISERROR(FIND(" ",A5)),A5,LEFT(A5,FIND(" ",A5)-1))</f>
        <v>0</v>
      </c>
      <c r="G5" s="8" t="str">
        <f>IF(ISERROR(FIND(" ",A5)),"-",MID(TRIM(RIGHT(A5,LEN(A5)-FIND(" ",A5)-1)),7, 1))</f>
        <v>-</v>
      </c>
      <c r="H5" s="11" t="str">
        <f>IF(ISERROR(FIND(" ",A5)),"-",DATE(LEFT(LEFT(TRIM(RIGHT(A5,LEN(A5)-FIND(" ",A5)-1)),6), 2), MID(LEFT(TRIM(RIGHT(A5,LEN(A5)-FIND(" ",A5)-1)),6), 3, 2),RIGHT(LEFT(TRIM(RIGHT(A5,LEN(A5)-FIND(" ",A5)-1)),6), 2)))</f>
        <v>-</v>
      </c>
      <c r="I5" s="20" t="str">
        <f t="shared" ref="I5" si="1">IF(ISERROR(FIND(" ",A5)),"-",RIGHT(TRIM(RIGHT(A5,LEN(A5)-FIND(" ",A5)-1)),LEN(TRIM(RIGHT(A5,LEN(A5)-FIND(" ",A5)-1)))-8)/1000)</f>
        <v>-</v>
      </c>
      <c r="J5" s="5"/>
      <c r="L5"/>
      <c r="N5" s="3"/>
      <c r="P5" s="3"/>
      <c r="R5" s="3"/>
      <c r="T5" s="3"/>
    </row>
    <row r="6" spans="1:20" x14ac:dyDescent="0.2">
      <c r="A6" s="7"/>
      <c r="B6" s="8"/>
      <c r="C6" s="9"/>
      <c r="D6" s="10"/>
      <c r="E6" s="12"/>
      <c r="F6" s="8"/>
      <c r="G6" s="8"/>
      <c r="H6" s="11"/>
      <c r="I6" s="20"/>
      <c r="J6" s="5"/>
      <c r="L6"/>
      <c r="N6" s="3"/>
      <c r="P6" s="3"/>
      <c r="R6" s="3"/>
      <c r="T6" s="3"/>
    </row>
    <row r="7" spans="1:20" x14ac:dyDescent="0.2">
      <c r="A7" s="7"/>
      <c r="B7" s="8"/>
      <c r="C7" s="9"/>
      <c r="D7" s="10"/>
      <c r="E7" s="12"/>
      <c r="F7" s="8"/>
      <c r="G7" s="8"/>
      <c r="H7" s="11"/>
      <c r="I7" s="20"/>
      <c r="J7" s="5"/>
      <c r="L7"/>
      <c r="N7" s="3"/>
      <c r="P7" s="3"/>
      <c r="R7" s="3"/>
      <c r="T7" s="3"/>
    </row>
    <row r="8" spans="1:20" x14ac:dyDescent="0.2">
      <c r="A8" s="7"/>
      <c r="B8" s="8"/>
      <c r="C8" s="9"/>
      <c r="D8" s="10"/>
      <c r="E8" s="12"/>
      <c r="F8" s="8"/>
      <c r="G8" s="8"/>
      <c r="H8" s="11"/>
      <c r="I8" s="20"/>
      <c r="J8" s="5"/>
      <c r="L8"/>
      <c r="N8" s="3"/>
      <c r="P8" s="3"/>
    </row>
    <row r="9" spans="1:20" x14ac:dyDescent="0.2">
      <c r="A9" s="7"/>
      <c r="B9" s="8"/>
      <c r="C9" s="9"/>
      <c r="D9" s="10"/>
      <c r="E9" s="12"/>
      <c r="F9" s="8"/>
      <c r="G9" s="8"/>
      <c r="H9" s="11"/>
      <c r="I9" s="20"/>
      <c r="J9" s="5"/>
      <c r="K9" s="3"/>
      <c r="L9"/>
      <c r="N9" s="3"/>
      <c r="P9" s="3"/>
      <c r="R9" s="3"/>
      <c r="T9" s="3"/>
    </row>
    <row r="10" spans="1:20" x14ac:dyDescent="0.2">
      <c r="A10" s="7"/>
      <c r="B10" s="8"/>
      <c r="C10" s="9"/>
      <c r="D10" s="10"/>
      <c r="E10" s="12"/>
      <c r="F10" s="8"/>
      <c r="G10" s="8"/>
      <c r="H10" s="11"/>
      <c r="I10" s="20"/>
      <c r="J10" s="5"/>
      <c r="K10" s="3"/>
      <c r="L10"/>
      <c r="N10" s="3"/>
      <c r="P10" s="3"/>
      <c r="R10" s="3"/>
      <c r="T10" s="3"/>
    </row>
    <row r="11" spans="1:20" x14ac:dyDescent="0.2">
      <c r="A11" s="7"/>
      <c r="B11" s="8"/>
      <c r="C11" s="9"/>
      <c r="D11" s="10"/>
      <c r="E11" s="12"/>
      <c r="F11" s="8"/>
      <c r="G11" s="8"/>
      <c r="H11" s="11"/>
      <c r="I11" s="20"/>
      <c r="J11" s="5"/>
      <c r="K11" s="3"/>
      <c r="L11"/>
      <c r="N11" s="3"/>
      <c r="P11" s="3"/>
      <c r="R11" s="3"/>
      <c r="T11" s="3"/>
    </row>
    <row r="12" spans="1:20" x14ac:dyDescent="0.2">
      <c r="A12" s="7"/>
      <c r="B12" s="8"/>
      <c r="C12" s="9"/>
      <c r="D12" s="10"/>
      <c r="E12" s="12"/>
      <c r="F12" s="8"/>
      <c r="G12" s="8"/>
      <c r="H12" s="11"/>
      <c r="I12" s="20"/>
      <c r="J12" s="5"/>
      <c r="K12" s="3"/>
      <c r="L12"/>
      <c r="N12" s="3"/>
      <c r="P12" s="3"/>
      <c r="R12" s="3"/>
      <c r="T12" s="3"/>
    </row>
    <row r="13" spans="1:20" x14ac:dyDescent="0.2">
      <c r="B13" s="8"/>
      <c r="C13" s="9"/>
      <c r="D13" s="10"/>
      <c r="E13" s="12"/>
      <c r="F13" s="8"/>
      <c r="G13" s="8"/>
      <c r="H13" s="11"/>
      <c r="I13" s="20"/>
      <c r="J13" s="5"/>
      <c r="K13" s="3"/>
      <c r="L13"/>
      <c r="O13"/>
      <c r="Q13"/>
    </row>
    <row r="14" spans="1:20" x14ac:dyDescent="0.2">
      <c r="B14" s="8"/>
      <c r="C14" s="9"/>
      <c r="D14" s="10"/>
      <c r="E14" s="12"/>
      <c r="F14" s="8"/>
      <c r="G14" s="8"/>
      <c r="H14" s="11"/>
      <c r="I14" s="20"/>
      <c r="J14" s="5"/>
      <c r="K14" s="3"/>
      <c r="L14"/>
      <c r="N14" s="3"/>
      <c r="O14"/>
      <c r="P14" s="3"/>
      <c r="Q14"/>
    </row>
    <row r="15" spans="1:20" x14ac:dyDescent="0.2">
      <c r="B15" s="8"/>
      <c r="C15" s="9"/>
      <c r="D15" s="10"/>
      <c r="E15" s="12"/>
      <c r="F15" s="8"/>
      <c r="G15" s="8"/>
      <c r="H15" s="11"/>
      <c r="I15" s="20"/>
      <c r="L15"/>
    </row>
    <row r="16" spans="1:20" x14ac:dyDescent="0.2">
      <c r="B16" s="8"/>
      <c r="C16" s="9"/>
      <c r="D16" s="10"/>
      <c r="E16" s="12"/>
      <c r="F16" s="8"/>
      <c r="G16" s="8"/>
      <c r="H16" s="11"/>
      <c r="I16" s="8"/>
      <c r="L16"/>
    </row>
    <row r="18" spans="1:15" x14ac:dyDescent="0.2">
      <c r="A18" s="47" t="s">
        <v>39</v>
      </c>
      <c r="B18" s="48"/>
      <c r="C18" s="48"/>
      <c r="D18" s="48"/>
      <c r="E18" s="48"/>
      <c r="F18" s="48"/>
      <c r="G18" s="48"/>
      <c r="H18" s="48"/>
      <c r="I18" s="48"/>
      <c r="J18" s="48"/>
      <c r="K18" s="49"/>
    </row>
    <row r="19" spans="1:15" ht="17" x14ac:dyDescent="0.2">
      <c r="A19" s="26" t="s">
        <v>14</v>
      </c>
      <c r="B19" s="27" t="s">
        <v>15</v>
      </c>
      <c r="C19" s="27" t="s">
        <v>17</v>
      </c>
      <c r="D19" s="28" t="s">
        <v>21</v>
      </c>
      <c r="E19" s="29" t="s">
        <v>22</v>
      </c>
      <c r="F19" s="21" t="s">
        <v>16</v>
      </c>
      <c r="G19" s="21" t="s">
        <v>25</v>
      </c>
      <c r="H19" s="21" t="s">
        <v>26</v>
      </c>
      <c r="I19" s="21" t="s">
        <v>27</v>
      </c>
      <c r="J19" s="21" t="s">
        <v>29</v>
      </c>
      <c r="K19" s="30" t="s">
        <v>28</v>
      </c>
      <c r="O19" s="19"/>
    </row>
    <row r="20" spans="1:15" x14ac:dyDescent="0.2">
      <c r="A20" s="23" t="s">
        <v>35</v>
      </c>
      <c r="B20" s="16" t="s">
        <v>33</v>
      </c>
      <c r="C20" s="16" t="s">
        <v>32</v>
      </c>
      <c r="D20" s="17">
        <v>10000</v>
      </c>
      <c r="E20" s="18">
        <v>20</v>
      </c>
      <c r="F20" s="13">
        <f t="shared" ref="F20" si="2">IF(G20="STK", D20/E20, D20/(E20*100))</f>
        <v>5</v>
      </c>
      <c r="G20" s="15" t="str">
        <f>IF(ISERROR(FIND(" ",A20)),"STK","OPT")</f>
        <v>OPT</v>
      </c>
      <c r="H20" s="15" t="str">
        <f>IF(ISERROR(FIND(" ",A20)),A20,LEFT(A20,FIND(" ",A20)-1))</f>
        <v>ABCD</v>
      </c>
      <c r="I20" s="14">
        <f>IF(G20="STK","-", DATEVALUE(MID(A20, FIND(CHAR(140),SUBSTITUTE(A20," ",CHAR(140),2))+1, 9)))</f>
        <v>44274</v>
      </c>
      <c r="J20" s="13" t="str">
        <f>IF(G20="STK","-", LEFT(RIGHT(A20, LEN(A20) - FIND(CHAR(140),SUBSTITUTE(A20," ",CHAR(140),5))),FIND(" ",RIGHT(A20, LEN(A20) - FIND(CHAR(140),SUBSTITUTE(A20," ",CHAR(140),5))))-1))</f>
        <v>100</v>
      </c>
      <c r="K20" s="24" t="str">
        <f>IF(G20="STK","-", TRIM(RIGHT(A20, LEN(A20)-FIND(CHAR(140),SUBSTITUTE(A20," ",CHAR(140),6))+1)))</f>
        <v>CALL</v>
      </c>
    </row>
    <row r="21" spans="1:15" x14ac:dyDescent="0.2">
      <c r="A21" s="23"/>
      <c r="B21" s="16"/>
      <c r="C21" s="16"/>
      <c r="D21" s="17"/>
      <c r="E21" s="18"/>
      <c r="F21" s="13"/>
      <c r="G21" s="15"/>
      <c r="H21" s="15"/>
      <c r="I21" s="14"/>
      <c r="J21" s="13"/>
      <c r="K21" s="25"/>
    </row>
    <row r="22" spans="1:15" x14ac:dyDescent="0.2">
      <c r="A22" s="31"/>
      <c r="B22" s="32"/>
      <c r="C22" s="32"/>
      <c r="D22" s="33"/>
      <c r="E22" s="34"/>
      <c r="F22" s="35"/>
      <c r="G22" s="36"/>
      <c r="H22" s="36"/>
      <c r="I22" s="37"/>
      <c r="J22" s="35"/>
      <c r="K22" s="38"/>
    </row>
    <row r="25" spans="1:15" x14ac:dyDescent="0.2">
      <c r="A25" s="50" t="s">
        <v>40</v>
      </c>
      <c r="B25" s="50"/>
      <c r="D25"/>
      <c r="I25"/>
      <c r="K25"/>
      <c r="L25"/>
    </row>
    <row r="26" spans="1:15" x14ac:dyDescent="0.2">
      <c r="A26" s="46" t="s">
        <v>14</v>
      </c>
      <c r="B26" s="46" t="s">
        <v>16</v>
      </c>
    </row>
  </sheetData>
  <mergeCells count="3">
    <mergeCell ref="A18:K18"/>
    <mergeCell ref="A3:I3"/>
    <mergeCell ref="A25:B25"/>
  </mergeCells>
  <conditionalFormatting sqref="D5:D16">
    <cfRule type="cellIs" dxfId="63" priority="5" operator="lessThan">
      <formula>0</formula>
    </cfRule>
    <cfRule type="cellIs" dxfId="62" priority="6" operator="greaterThan">
      <formula>0</formula>
    </cfRule>
  </conditionalFormatting>
  <conditionalFormatting sqref="E5:E16">
    <cfRule type="cellIs" dxfId="61" priority="3" operator="lessThan">
      <formula>0</formula>
    </cfRule>
    <cfRule type="cellIs" dxfId="60" priority="4" operator="greaterThan">
      <formula>0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eadAndPlaceXLOrders" altText="Place Orders">
                <anchor moveWithCells="1">
                  <from>
                    <xdr:col>11</xdr:col>
                    <xdr:colOff>622300</xdr:colOff>
                    <xdr:row>18</xdr:row>
                    <xdr:rowOff>139700</xdr:rowOff>
                  </from>
                  <to>
                    <xdr:col>13</xdr:col>
                    <xdr:colOff>228600</xdr:colOff>
                    <xdr:row>20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losePositions" altText="Place Orders">
                <anchor moveWithCells="1">
                  <from>
                    <xdr:col>4</xdr:col>
                    <xdr:colOff>304800</xdr:colOff>
                    <xdr:row>24</xdr:row>
                    <xdr:rowOff>12700</xdr:rowOff>
                  </from>
                  <to>
                    <xdr:col>4</xdr:col>
                    <xdr:colOff>889000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getPositionsToClose" altText="Place Orders">
                <anchor moveWithCells="1">
                  <from>
                    <xdr:col>3</xdr:col>
                    <xdr:colOff>355600</xdr:colOff>
                    <xdr:row>24</xdr:row>
                    <xdr:rowOff>12700</xdr:rowOff>
                  </from>
                  <to>
                    <xdr:col>4</xdr:col>
                    <xdr:colOff>63500</xdr:colOff>
                    <xdr:row>26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9B25-19F9-9043-B7AD-20408C9EA759}">
  <sheetPr codeName="Sheet5"/>
  <dimension ref="A1:T25"/>
  <sheetViews>
    <sheetView zoomScale="130" zoomScaleNormal="130" workbookViewId="0"/>
  </sheetViews>
  <sheetFormatPr baseColWidth="10" defaultColWidth="10.5" defaultRowHeight="16" x14ac:dyDescent="0.2"/>
  <cols>
    <col min="1" max="1" width="26.5" bestFit="1" customWidth="1"/>
    <col min="2" max="2" width="12.5" bestFit="1" customWidth="1"/>
    <col min="3" max="3" width="10.83203125" bestFit="1" customWidth="1"/>
    <col min="4" max="4" width="12.5" style="6" bestFit="1" customWidth="1"/>
    <col min="5" max="5" width="11.5" bestFit="1" customWidth="1"/>
    <col min="6" max="6" width="7.5" bestFit="1" customWidth="1"/>
    <col min="7" max="7" width="10.1640625" bestFit="1" customWidth="1"/>
    <col min="8" max="8" width="7.83203125" bestFit="1" customWidth="1"/>
    <col min="9" max="9" width="7.83203125" style="3" customWidth="1"/>
    <col min="10" max="10" width="6" bestFit="1" customWidth="1"/>
    <col min="11" max="11" width="9" style="5" bestFit="1" customWidth="1"/>
    <col min="12" max="12" width="10.1640625" style="3" bestFit="1" customWidth="1"/>
    <col min="13" max="13" width="10.6640625" style="3" bestFit="1" customWidth="1"/>
    <col min="14" max="14" width="6" style="3" bestFit="1" customWidth="1"/>
    <col min="15" max="15" width="10.83203125" style="3" bestFit="1" customWidth="1"/>
    <col min="17" max="17" width="11.5" style="3" bestFit="1" customWidth="1"/>
    <col min="18" max="19" width="11.5" bestFit="1" customWidth="1"/>
  </cols>
  <sheetData>
    <row r="1" spans="1:20" x14ac:dyDescent="0.2">
      <c r="A1" s="40" t="s">
        <v>23</v>
      </c>
      <c r="B1" s="39"/>
      <c r="C1" s="40" t="s">
        <v>24</v>
      </c>
      <c r="D1" s="39"/>
      <c r="E1" s="3"/>
      <c r="F1" s="3"/>
      <c r="G1" s="3"/>
      <c r="H1" s="3"/>
      <c r="J1" s="3"/>
      <c r="K1" s="3"/>
      <c r="N1"/>
      <c r="O1"/>
      <c r="Q1"/>
    </row>
    <row r="2" spans="1:20" x14ac:dyDescent="0.2">
      <c r="I2"/>
      <c r="Q2"/>
    </row>
    <row r="3" spans="1:20" s="4" customFormat="1" x14ac:dyDescent="0.2">
      <c r="A3" s="47" t="s">
        <v>18</v>
      </c>
      <c r="B3" s="48"/>
      <c r="C3" s="48"/>
      <c r="D3" s="48"/>
      <c r="E3" s="48"/>
      <c r="F3" s="48"/>
      <c r="G3" s="48"/>
      <c r="H3" s="48"/>
      <c r="I3" s="48"/>
      <c r="J3" s="3"/>
    </row>
    <row r="4" spans="1:20" s="3" customFormat="1" x14ac:dyDescent="0.2">
      <c r="A4" s="21" t="s">
        <v>14</v>
      </c>
      <c r="B4" s="21" t="s">
        <v>16</v>
      </c>
      <c r="C4" s="22" t="s">
        <v>30</v>
      </c>
      <c r="D4" s="21" t="s">
        <v>19</v>
      </c>
      <c r="E4" s="21" t="s">
        <v>20</v>
      </c>
      <c r="F4" s="21" t="s">
        <v>26</v>
      </c>
      <c r="G4" s="21" t="s">
        <v>28</v>
      </c>
      <c r="H4" s="21" t="s">
        <v>27</v>
      </c>
      <c r="I4" s="21" t="s">
        <v>29</v>
      </c>
      <c r="M4"/>
    </row>
    <row r="5" spans="1:20" x14ac:dyDescent="0.2">
      <c r="A5" s="7"/>
      <c r="B5" s="8"/>
      <c r="C5" s="9"/>
      <c r="D5" s="10"/>
      <c r="E5" s="12" t="e">
        <f>IF(B5&lt;=0, (-1*D5/C5), D5/C5)</f>
        <v>#DIV/0!</v>
      </c>
      <c r="F5" s="8">
        <f t="shared" ref="F5" si="0">IF(ISERROR(FIND(" ",A5)),A5,LEFT(A5,FIND(" ",A5)-1))</f>
        <v>0</v>
      </c>
      <c r="G5" s="8" t="str">
        <f>IF(ISERROR(FIND(" ",A5)),"-",MID(TRIM(RIGHT(A5,LEN(A5)-FIND(" ",A5)-1)),7, 1))</f>
        <v>-</v>
      </c>
      <c r="H5" s="11" t="str">
        <f>IF(ISERROR(FIND(" ",A5)),"-",DATE(LEFT(LEFT(TRIM(RIGHT(A5,LEN(A5)-FIND(" ",A5)-1)),6), 2), MID(LEFT(TRIM(RIGHT(A5,LEN(A5)-FIND(" ",A5)-1)),6), 3, 2),RIGHT(LEFT(TRIM(RIGHT(A5,LEN(A5)-FIND(" ",A5)-1)),6), 2)))</f>
        <v>-</v>
      </c>
      <c r="I5" s="8" t="str">
        <f>IF(ISERROR(FIND(" ",A5)),"-",RIGHT(TRIM(RIGHT(A5,LEN(A5)-FIND(" ",A5)-1)),LEN(RIGHT(A5,LEN(A5)-FIND(" ",A5)-1))-8)/1000)</f>
        <v>-</v>
      </c>
      <c r="J5" s="5"/>
      <c r="M5"/>
      <c r="N5" s="5"/>
      <c r="P5" s="3"/>
      <c r="R5" s="3"/>
      <c r="T5" s="3"/>
    </row>
    <row r="6" spans="1:20" x14ac:dyDescent="0.2">
      <c r="A6" s="7"/>
      <c r="B6" s="8"/>
      <c r="C6" s="9"/>
      <c r="D6" s="10"/>
      <c r="E6" s="12"/>
      <c r="F6" s="8"/>
      <c r="G6" s="8"/>
      <c r="H6" s="11"/>
      <c r="I6" s="8"/>
      <c r="J6" s="5"/>
      <c r="M6"/>
      <c r="N6" s="5"/>
      <c r="P6" s="3"/>
      <c r="R6" s="3"/>
      <c r="T6" s="3"/>
    </row>
    <row r="7" spans="1:20" x14ac:dyDescent="0.2">
      <c r="A7" s="7"/>
      <c r="B7" s="8"/>
      <c r="C7" s="9"/>
      <c r="D7" s="10"/>
      <c r="E7" s="12"/>
      <c r="F7" s="8"/>
      <c r="G7" s="8"/>
      <c r="H7" s="11"/>
      <c r="I7" s="8"/>
      <c r="J7" s="5"/>
      <c r="M7"/>
      <c r="N7" s="5"/>
      <c r="P7" s="3"/>
      <c r="R7" s="3"/>
      <c r="T7" s="3"/>
    </row>
    <row r="8" spans="1:20" x14ac:dyDescent="0.2">
      <c r="A8" s="7"/>
      <c r="B8" s="8"/>
      <c r="C8" s="9"/>
      <c r="D8" s="10"/>
      <c r="E8" s="12"/>
      <c r="F8" s="8"/>
      <c r="G8" s="8"/>
      <c r="H8" s="11"/>
      <c r="I8" s="8"/>
      <c r="J8" s="5"/>
      <c r="M8"/>
      <c r="P8" s="3"/>
    </row>
    <row r="9" spans="1:20" x14ac:dyDescent="0.2">
      <c r="A9" s="7"/>
      <c r="B9" s="8"/>
      <c r="C9" s="9"/>
      <c r="D9" s="10"/>
      <c r="E9" s="12"/>
      <c r="F9" s="8"/>
      <c r="G9" s="8"/>
      <c r="H9" s="11"/>
      <c r="I9" s="8"/>
      <c r="J9" s="5"/>
      <c r="K9" s="3"/>
      <c r="M9"/>
      <c r="N9" s="5"/>
      <c r="P9" s="3"/>
      <c r="R9" s="3"/>
      <c r="T9" s="3"/>
    </row>
    <row r="10" spans="1:20" x14ac:dyDescent="0.2">
      <c r="A10" s="7"/>
      <c r="B10" s="8"/>
      <c r="C10" s="9"/>
      <c r="D10" s="10"/>
      <c r="E10" s="12"/>
      <c r="F10" s="8"/>
      <c r="G10" s="8"/>
      <c r="H10" s="11"/>
      <c r="I10" s="8"/>
      <c r="J10" s="5"/>
      <c r="K10" s="3"/>
      <c r="M10"/>
      <c r="N10" s="5"/>
      <c r="P10" s="3"/>
      <c r="R10" s="3"/>
      <c r="T10" s="3"/>
    </row>
    <row r="11" spans="1:20" x14ac:dyDescent="0.2">
      <c r="A11" s="7"/>
      <c r="B11" s="8"/>
      <c r="C11" s="9"/>
      <c r="D11" s="10"/>
      <c r="E11" s="12"/>
      <c r="F11" s="8"/>
      <c r="G11" s="8"/>
      <c r="H11" s="11"/>
      <c r="I11" s="8"/>
      <c r="J11" s="5"/>
      <c r="K11" s="3"/>
      <c r="M11"/>
      <c r="N11" s="5"/>
      <c r="P11" s="3"/>
      <c r="R11" s="3"/>
      <c r="T11" s="3"/>
    </row>
    <row r="12" spans="1:20" x14ac:dyDescent="0.2">
      <c r="A12" s="7"/>
      <c r="B12" s="8"/>
      <c r="C12" s="9"/>
      <c r="D12" s="10"/>
      <c r="E12" s="12"/>
      <c r="F12" s="8"/>
      <c r="G12" s="8"/>
      <c r="H12" s="11"/>
      <c r="I12" s="8"/>
      <c r="J12" s="5"/>
      <c r="K12" s="3"/>
      <c r="M12"/>
      <c r="N12" s="5"/>
      <c r="P12" s="3"/>
      <c r="R12" s="3"/>
      <c r="T12" s="3"/>
    </row>
    <row r="13" spans="1:20" x14ac:dyDescent="0.2">
      <c r="B13" s="8"/>
      <c r="C13" s="9"/>
      <c r="D13" s="10"/>
      <c r="E13" s="12"/>
      <c r="F13" s="8"/>
      <c r="G13" s="8"/>
      <c r="H13" s="11"/>
      <c r="I13" s="8"/>
      <c r="J13" s="5"/>
      <c r="K13" s="3"/>
      <c r="O13"/>
      <c r="Q13"/>
    </row>
    <row r="14" spans="1:20" x14ac:dyDescent="0.2">
      <c r="B14" s="8"/>
      <c r="C14" s="9"/>
      <c r="D14" s="10"/>
      <c r="E14" s="12"/>
      <c r="F14" s="8"/>
      <c r="G14" s="8"/>
      <c r="H14" s="11"/>
      <c r="I14" s="8"/>
      <c r="J14" s="5"/>
      <c r="K14" s="3"/>
      <c r="O14"/>
      <c r="P14" s="3"/>
      <c r="Q14"/>
    </row>
    <row r="17" spans="1:11" x14ac:dyDescent="0.2">
      <c r="A17" s="47" t="s">
        <v>37</v>
      </c>
      <c r="B17" s="48"/>
      <c r="C17" s="48"/>
      <c r="D17" s="48"/>
      <c r="E17" s="48"/>
      <c r="F17" s="48"/>
      <c r="G17" s="48"/>
      <c r="H17" s="48"/>
      <c r="I17" s="48"/>
      <c r="J17" s="48"/>
      <c r="K17" s="49"/>
    </row>
    <row r="18" spans="1:11" ht="17" x14ac:dyDescent="0.2">
      <c r="A18" s="26" t="s">
        <v>14</v>
      </c>
      <c r="B18" s="27" t="s">
        <v>15</v>
      </c>
      <c r="C18" s="27" t="s">
        <v>17</v>
      </c>
      <c r="D18" s="27" t="s">
        <v>21</v>
      </c>
      <c r="E18" s="28" t="s">
        <v>22</v>
      </c>
      <c r="F18" s="43" t="s">
        <v>16</v>
      </c>
      <c r="G18" s="21" t="s">
        <v>25</v>
      </c>
      <c r="H18" s="21" t="s">
        <v>26</v>
      </c>
      <c r="I18" s="21" t="s">
        <v>27</v>
      </c>
      <c r="J18" s="21" t="s">
        <v>29</v>
      </c>
      <c r="K18" s="30" t="s">
        <v>28</v>
      </c>
    </row>
    <row r="19" spans="1:11" x14ac:dyDescent="0.2">
      <c r="A19" s="23" t="s">
        <v>35</v>
      </c>
      <c r="B19" s="16" t="s">
        <v>33</v>
      </c>
      <c r="C19" s="16" t="s">
        <v>32</v>
      </c>
      <c r="D19" s="17">
        <v>10000</v>
      </c>
      <c r="E19" s="18">
        <v>20</v>
      </c>
      <c r="F19" s="44">
        <f t="shared" ref="F19" si="1">IF(G19="STK", D19/E19, D19/(E19*100))</f>
        <v>5</v>
      </c>
      <c r="G19" s="15" t="str">
        <f t="shared" ref="G19" si="2">IF(ISERROR(FIND(" ",A19)),"STK","OPT")</f>
        <v>OPT</v>
      </c>
      <c r="H19" s="15" t="str">
        <f t="shared" ref="H19" si="3">IF(ISERROR(FIND(" ",A19)),A19,LEFT(A19,FIND(" ",A19)-1))</f>
        <v>ABCD</v>
      </c>
      <c r="I19" s="14">
        <f t="shared" ref="I19" si="4">IF(G19="STK","-", DATEVALUE(MID(A19, FIND(CHAR(140),SUBSTITUTE(A19," ",CHAR(140),2))+1, 9)))</f>
        <v>44274</v>
      </c>
      <c r="J19" s="13" t="str">
        <f t="shared" ref="J19" si="5">IF(G19="STK","-", LEFT(RIGHT(A19, LEN(A19) - FIND(CHAR(140),SUBSTITUTE(A19," ",CHAR(140),5))),FIND(" ",RIGHT(A19, LEN(A19) - FIND(CHAR(140),SUBSTITUTE(A19," ",CHAR(140),5))))-1))</f>
        <v>100</v>
      </c>
      <c r="K19" s="24" t="str">
        <f t="shared" ref="K19" si="6">IF(G19="STK","-", TRIM(RIGHT(A19, LEN(A19)-FIND(CHAR(140),SUBSTITUTE(A19," ",CHAR(140),6))+1)))</f>
        <v>CALL</v>
      </c>
    </row>
    <row r="20" spans="1:11" x14ac:dyDescent="0.2">
      <c r="A20" s="23"/>
      <c r="B20" s="16"/>
      <c r="C20" s="16"/>
      <c r="D20" s="16"/>
      <c r="E20" s="17"/>
      <c r="F20" s="44"/>
      <c r="G20" s="13"/>
      <c r="H20" s="15"/>
      <c r="I20" s="15"/>
      <c r="J20" s="14"/>
      <c r="K20" s="41"/>
    </row>
    <row r="21" spans="1:11" x14ac:dyDescent="0.2">
      <c r="A21" s="31"/>
      <c r="B21" s="32"/>
      <c r="C21" s="32"/>
      <c r="D21" s="32"/>
      <c r="E21" s="33"/>
      <c r="F21" s="45"/>
      <c r="G21" s="35"/>
      <c r="H21" s="36"/>
      <c r="I21" s="36"/>
      <c r="J21" s="37"/>
      <c r="K21" s="42"/>
    </row>
    <row r="24" spans="1:11" x14ac:dyDescent="0.2">
      <c r="A24" s="50" t="s">
        <v>38</v>
      </c>
      <c r="B24" s="50"/>
    </row>
    <row r="25" spans="1:11" x14ac:dyDescent="0.2">
      <c r="A25" s="46" t="s">
        <v>14</v>
      </c>
      <c r="B25" s="46" t="s">
        <v>16</v>
      </c>
    </row>
  </sheetData>
  <mergeCells count="3">
    <mergeCell ref="A3:I3"/>
    <mergeCell ref="A17:K17"/>
    <mergeCell ref="A24:B24"/>
  </mergeCells>
  <conditionalFormatting sqref="D5:D14">
    <cfRule type="cellIs" dxfId="33" priority="5" operator="lessThan">
      <formula>0</formula>
    </cfRule>
    <cfRule type="cellIs" dxfId="32" priority="6" operator="greaterThan">
      <formula>0</formula>
    </cfRule>
  </conditionalFormatting>
  <conditionalFormatting sqref="E5:E14">
    <cfRule type="cellIs" dxfId="31" priority="3" operator="lessThan">
      <formula>0</formula>
    </cfRule>
    <cfRule type="cellIs" dxfId="30" priority="4" operator="greaterThan">
      <formula>0</formula>
    </cfRule>
  </conditionalFormatting>
  <conditionalFormatting sqref="D13">
    <cfRule type="cellIs" dxfId="29" priority="1" operator="lessThan">
      <formula>0</formula>
    </cfRule>
    <cfRule type="cellIs" dxfId="28" priority="2" operator="greaterThan">
      <formula>0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adAndPlaceXLOrders" altText="Place Orders">
                <anchor moveWithCells="1">
                  <from>
                    <xdr:col>11</xdr:col>
                    <xdr:colOff>622300</xdr:colOff>
                    <xdr:row>17</xdr:row>
                    <xdr:rowOff>139700</xdr:rowOff>
                  </from>
                  <to>
                    <xdr:col>13</xdr:col>
                    <xdr:colOff>228600</xdr:colOff>
                    <xdr:row>19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osePositions" altText="Place Orders">
                <anchor moveWithCells="1">
                  <from>
                    <xdr:col>3</xdr:col>
                    <xdr:colOff>635000</xdr:colOff>
                    <xdr:row>23</xdr:row>
                    <xdr:rowOff>12700</xdr:rowOff>
                  </from>
                  <to>
                    <xdr:col>4</xdr:col>
                    <xdr:colOff>266700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getPositionsToClose" altText="Place Orders">
                <anchor moveWithCells="1">
                  <from>
                    <xdr:col>2</xdr:col>
                    <xdr:colOff>635000</xdr:colOff>
                    <xdr:row>23</xdr:row>
                    <xdr:rowOff>12700</xdr:rowOff>
                  </from>
                  <to>
                    <xdr:col>3</xdr:col>
                    <xdr:colOff>393700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="140" zoomScaleNormal="140" workbookViewId="0"/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7" width="8.83203125" style="1"/>
    <col min="8" max="8" width="10.83203125" style="1" bestFit="1" customWidth="1"/>
    <col min="9" max="16384" width="8.83203125" style="1"/>
  </cols>
  <sheetData>
    <row r="1" spans="1:2" x14ac:dyDescent="0.2">
      <c r="A1" s="1" t="s">
        <v>8</v>
      </c>
    </row>
    <row r="2" spans="1:2" x14ac:dyDescent="0.2">
      <c r="A2" s="1" t="s">
        <v>9</v>
      </c>
      <c r="B2" s="1" t="s">
        <v>31</v>
      </c>
    </row>
    <row r="3" spans="1:2" x14ac:dyDescent="0.2">
      <c r="A3" s="1" t="s">
        <v>0</v>
      </c>
      <c r="B3" s="1" t="s">
        <v>36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13</v>
      </c>
      <c r="B9" s="1" t="b">
        <v>0</v>
      </c>
    </row>
    <row r="10" spans="1:2" x14ac:dyDescent="0.2">
      <c r="A10" s="1" t="s">
        <v>34</v>
      </c>
      <c r="B10" s="1" t="b">
        <v>1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Brokerage</vt:lpstr>
      <vt:lpstr>Paper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Rachan Malhotra</cp:lastModifiedBy>
  <dcterms:created xsi:type="dcterms:W3CDTF">2015-01-25T11:31:25Z</dcterms:created>
  <dcterms:modified xsi:type="dcterms:W3CDTF">2021-01-28T21:23:10Z</dcterms:modified>
</cp:coreProperties>
</file>